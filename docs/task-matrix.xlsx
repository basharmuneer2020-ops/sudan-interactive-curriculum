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- هيكل تقسيم العمل" sheetId="1" state="visible" r:id="rId3"/>
    <sheet name="MoSCoW - الأولويات" sheetId="2" state="visible" r:id="rId4"/>
    <sheet name="CPM - المسار الحرج" sheetId="3" state="visible" r:id="rId5"/>
    <sheet name="لوحة المتابعة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<sst xmlns="http://schemas.openxmlformats.org/spreadsheetml/2006/main" count="595" uniqueCount="271">
  <si>
    <t xml:space="preserve">الكود</t>
  </si>
  <si>
    <t xml:space="preserve">المرحلة</t>
  </si>
  <si>
    <t xml:space="preserve">الصف</t>
  </si>
  <si>
    <t xml:space="preserve">المادة</t>
  </si>
  <si>
    <t xml:space="preserve">الباب</t>
  </si>
  <si>
    <t xml:space="preserve">النوع</t>
  </si>
  <si>
    <t xml:space="preserve">الوصف</t>
  </si>
  <si>
    <t xml:space="preserve">الحالة</t>
  </si>
  <si>
    <t xml:space="preserve">المساهم</t>
  </si>
  <si>
    <t xml:space="preserve">الأولوية MoSCoW</t>
  </si>
  <si>
    <t xml:space="preserve">التبعيات (CPM)</t>
  </si>
  <si>
    <t xml:space="preserve">ملاحظات</t>
  </si>
  <si>
    <t xml:space="preserve">SEC-G12-CHE-C03-LAB-01</t>
  </si>
  <si>
    <t xml:space="preserve">الثانوية</t>
  </si>
  <si>
    <t xml:space="preserve">الثالث ثانوي</t>
  </si>
  <si>
    <t xml:space="preserve">الكيمياء</t>
  </si>
  <si>
    <t xml:space="preserve">التحليل الكيفي</t>
  </si>
  <si>
    <t xml:space="preserve">معمل</t>
  </si>
  <si>
    <t xml:space="preserve">معمل التحليل الكيميائي الكيفي</t>
  </si>
  <si>
    <t xml:space="preserve">🟢 مكتمل</t>
  </si>
  <si>
    <t xml:space="preserve">bashar</t>
  </si>
  <si>
    <t xml:space="preserve">Must</t>
  </si>
  <si>
    <t xml:space="preserve">—</t>
  </si>
  <si>
    <t xml:space="preserve">أول معمل تم إنجازه</t>
  </si>
  <si>
    <t xml:space="preserve">SEC-G12-PHY-C01-LAB-01</t>
  </si>
  <si>
    <t xml:space="preserve">الفيزياء</t>
  </si>
  <si>
    <t xml:space="preserve">المجال التثاقلي</t>
  </si>
  <si>
    <t xml:space="preserve">معمل الجاذبية والحركة الدائرية</t>
  </si>
  <si>
    <t xml:space="preserve">SEC-G12-MAT-C02-LAB-01</t>
  </si>
  <si>
    <t xml:space="preserve">الرياضيات</t>
  </si>
  <si>
    <t xml:space="preserve">التفاضل</t>
  </si>
  <si>
    <t xml:space="preserve">معمل التفاضل وتطبيقاته</t>
  </si>
  <si>
    <t xml:space="preserve">SEC-G12-BIO-C02-LAB-01</t>
  </si>
  <si>
    <t xml:space="preserve">الأحياء</t>
  </si>
  <si>
    <t xml:space="preserve">وراثة مندل</t>
  </si>
  <si>
    <t xml:space="preserve">معمل تجارب مندل في الوراثة</t>
  </si>
  <si>
    <t xml:space="preserve">SEC-G12-CHE-C01-CON-01</t>
  </si>
  <si>
    <t xml:space="preserve">عضوية متقدمة</t>
  </si>
  <si>
    <t xml:space="preserve">محتوى</t>
  </si>
  <si>
    <t xml:space="preserve">شرح الكيمياء العضوية المتقدمة</t>
  </si>
  <si>
    <t xml:space="preserve">⚪ محجوز</t>
  </si>
  <si>
    <t xml:space="preserve">Should</t>
  </si>
  <si>
    <t xml:space="preserve">SEC-G12-CHE-C02-CON-01</t>
  </si>
  <si>
    <t xml:space="preserve">كيمياء إشعاع</t>
  </si>
  <si>
    <t xml:space="preserve">شرح كيمياء الإشعاع والنظائر</t>
  </si>
  <si>
    <t xml:space="preserve">SEC-G12-CHE-C04-CON-01</t>
  </si>
  <si>
    <t xml:space="preserve">كيمياء صناعية</t>
  </si>
  <si>
    <t xml:space="preserve">شرح الكيمياء الصناعية والتطبيقية</t>
  </si>
  <si>
    <t xml:space="preserve">Could</t>
  </si>
  <si>
    <t xml:space="preserve">SEC-G12-PHY-C02-SIM-01</t>
  </si>
  <si>
    <t xml:space="preserve">كهرومغناطيسية</t>
  </si>
  <si>
    <t xml:space="preserve">محاكاة</t>
  </si>
  <si>
    <t xml:space="preserve">محاكاة الكهرومغناطيسية والمحاثة</t>
  </si>
  <si>
    <t xml:space="preserve">🔴 متاح</t>
  </si>
  <si>
    <t xml:space="preserve">بناء على معمل الجاذبية</t>
  </si>
  <si>
    <t xml:space="preserve">SEC-G12-PHY-C03-CON-01</t>
  </si>
  <si>
    <t xml:space="preserve">فيزياء نووية</t>
  </si>
  <si>
    <t xml:space="preserve">شرح الفيزياء النووية والإشعاع</t>
  </si>
  <si>
    <t xml:space="preserve">SEC-G12-MAT-C01-LAB-01</t>
  </si>
  <si>
    <t xml:space="preserve">التكامل</t>
  </si>
  <si>
    <t xml:space="preserve">معمل التكامل وتطبيقاته</t>
  </si>
  <si>
    <t xml:space="preserve">مكمل لمعمل التفاضل</t>
  </si>
  <si>
    <t xml:space="preserve">SEC-G12-MAT-C03-VIZ-01</t>
  </si>
  <si>
    <t xml:space="preserve">أعداد مركبة</t>
  </si>
  <si>
    <t xml:space="preserve">تصور</t>
  </si>
  <si>
    <t xml:space="preserve">تصور بصري للأعداد المركبة</t>
  </si>
  <si>
    <t xml:space="preserve">SEC-G12-BIO-C01-SIM-01</t>
  </si>
  <si>
    <t xml:space="preserve">وراثة جزيئية</t>
  </si>
  <si>
    <t xml:space="preserve">محاكاة DNA والوراثة الجزيئية</t>
  </si>
  <si>
    <t xml:space="preserve">SEC-G12-BIO-C03-CON-01</t>
  </si>
  <si>
    <t xml:space="preserve">التطور</t>
  </si>
  <si>
    <t xml:space="preserve">شرح نظرية التطور</t>
  </si>
  <si>
    <t xml:space="preserve">SEC-G12-___-CXX-QIZ-01</t>
  </si>
  <si>
    <t xml:space="preserve">(كل المواد)</t>
  </si>
  <si>
    <t xml:space="preserve">(عام)</t>
  </si>
  <si>
    <t xml:space="preserve">اختبار</t>
  </si>
  <si>
    <t xml:space="preserve">نظام اختبارات الثالث ثانوي</t>
  </si>
  <si>
    <t xml:space="preserve">Won't (حالياً)</t>
  </si>
  <si>
    <t xml:space="preserve">المرحلة 3</t>
  </si>
  <si>
    <t xml:space="preserve">SEC-G11-CHE-C01-LAB-01</t>
  </si>
  <si>
    <t xml:space="preserve">الثاني ثانوي</t>
  </si>
  <si>
    <t xml:space="preserve">عضوية</t>
  </si>
  <si>
    <t xml:space="preserve">معمل الكيمياء العضوية</t>
  </si>
  <si>
    <t xml:space="preserve">أولوية قصوى</t>
  </si>
  <si>
    <t xml:space="preserve">SEC-G11-CHE-C03-SIM-01</t>
  </si>
  <si>
    <t xml:space="preserve">أكسدة واختزال</t>
  </si>
  <si>
    <t xml:space="preserve">محاكاة تفاعلات الأكسدة والاختزال</t>
  </si>
  <si>
    <t xml:space="preserve">SEC-G11-CHE-C02-CON-01</t>
  </si>
  <si>
    <t xml:space="preserve">كهروكيميائية</t>
  </si>
  <si>
    <t xml:space="preserve">شرح الكيمياء الكهربائية</t>
  </si>
  <si>
    <t xml:space="preserve">SEC-G11-CHE-C04-CON-01</t>
  </si>
  <si>
    <t xml:space="preserve">حسابات كيميائية</t>
  </si>
  <si>
    <t xml:space="preserve">شرح الحسابات الكيميائية المتقدمة</t>
  </si>
  <si>
    <t xml:space="preserve">SEC-G11-PHY-C02-LAB-01</t>
  </si>
  <si>
    <t xml:space="preserve">معمل الكهرومغناطيسية</t>
  </si>
  <si>
    <t xml:space="preserve">SEC-G11-PHY-C03-SIM-01</t>
  </si>
  <si>
    <t xml:space="preserve">موجات وصوت</t>
  </si>
  <si>
    <t xml:space="preserve">محاكاة الموجات والصوت</t>
  </si>
  <si>
    <t xml:space="preserve">SEC-G11-PHY-C01-CON-01</t>
  </si>
  <si>
    <t xml:space="preserve">حرارة</t>
  </si>
  <si>
    <t xml:space="preserve">شرح الديناميكا الحرارية</t>
  </si>
  <si>
    <t xml:space="preserve">SEC-G11-MAT-C01-LAB-01</t>
  </si>
  <si>
    <t xml:space="preserve">تكامل</t>
  </si>
  <si>
    <t xml:space="preserve">معمل حساب التكامل</t>
  </si>
  <si>
    <t xml:space="preserve">SEC-G11-MAT-C03-VIZ-01</t>
  </si>
  <si>
    <t xml:space="preserve">تصور بصري للأعداد المركبة والمتجهات</t>
  </si>
  <si>
    <t xml:space="preserve">SEC-G11-BIO-C01-LAB-01</t>
  </si>
  <si>
    <t xml:space="preserve">معمل DNA والوراثة الجزيئية</t>
  </si>
  <si>
    <t xml:space="preserve">SEC-G11-BIO-C03-SIM-01</t>
  </si>
  <si>
    <t xml:space="preserve">انقسام خلوي</t>
  </si>
  <si>
    <t xml:space="preserve">محاكاة الانقسام الخلوي</t>
  </si>
  <si>
    <t xml:space="preserve">SEC-G11-___-C01-???-01</t>
  </si>
  <si>
    <t xml:space="preserve">(غير محدد)</t>
  </si>
  <si>
    <t xml:space="preserve">محجوز — محتوى تعليمي لم يُحدد بعد</t>
  </si>
  <si>
    <t xml:space="preserve">يُحدد لاحقاً</t>
  </si>
  <si>
    <t xml:space="preserve">SEC-G11-___-C02-???-01</t>
  </si>
  <si>
    <t xml:space="preserve">SEC-G10-CHE-C01-LAB-01</t>
  </si>
  <si>
    <t xml:space="preserve">الأول ثانوي</t>
  </si>
  <si>
    <t xml:space="preserve">بنية الذرة</t>
  </si>
  <si>
    <t xml:space="preserve">معمل بنية الذرة والجدول الدوري</t>
  </si>
  <si>
    <t xml:space="preserve">SEC-G10-CHE-C02-SIM-01</t>
  </si>
  <si>
    <t xml:space="preserve">روابط كيميائية</t>
  </si>
  <si>
    <t xml:space="preserve">محاكاة الروابط الكيميائية</t>
  </si>
  <si>
    <t xml:space="preserve">SEC-G10-PHY-C01-LAB-01</t>
  </si>
  <si>
    <t xml:space="preserve">حركة وقوة</t>
  </si>
  <si>
    <t xml:space="preserve">معمل الحركة والقوة</t>
  </si>
  <si>
    <t xml:space="preserve">SEC-G10-PHY-C04-SIM-01</t>
  </si>
  <si>
    <t xml:space="preserve">بصريات</t>
  </si>
  <si>
    <t xml:space="preserve">محاكاة البصريات والضوء</t>
  </si>
  <si>
    <t xml:space="preserve">SEC-G10-MAT-C02-VIZ-01</t>
  </si>
  <si>
    <t xml:space="preserve">دوال</t>
  </si>
  <si>
    <t xml:space="preserve">تصور بصري للدوال والرسم البياني</t>
  </si>
  <si>
    <t xml:space="preserve">SEC-G10-BIO-C01-SIM-01</t>
  </si>
  <si>
    <t xml:space="preserve">الخلية</t>
  </si>
  <si>
    <t xml:space="preserve">محاكاة تركيب الخلية</t>
  </si>
  <si>
    <t xml:space="preserve">SEC-G10-BIO-C04-CON-01</t>
  </si>
  <si>
    <t xml:space="preserve">تصنيف حيوي</t>
  </si>
  <si>
    <t xml:space="preserve">شرح التصنيف الحيوي</t>
  </si>
  <si>
    <t xml:space="preserve">SEC-G10-___-CXX-???-01</t>
  </si>
  <si>
    <t xml:space="preserve">محجوز — 10+ مهام لم تُحدد بعد</t>
  </si>
  <si>
    <t xml:space="preserve">MID-G9-MAT-C01-VIZ-01</t>
  </si>
  <si>
    <t xml:space="preserve">المتوسطة</t>
  </si>
  <si>
    <t xml:space="preserve">التاسع</t>
  </si>
  <si>
    <t xml:space="preserve">معادلات</t>
  </si>
  <si>
    <t xml:space="preserve">تصور بصري تفاعلي للمعادلات</t>
  </si>
  <si>
    <t xml:space="preserve">MID-G9-SCI-C01-SIM-01</t>
  </si>
  <si>
    <t xml:space="preserve">العلوم</t>
  </si>
  <si>
    <t xml:space="preserve">فيزياء</t>
  </si>
  <si>
    <t xml:space="preserve">محاكاة مبادئ الفيزياء</t>
  </si>
  <si>
    <t xml:space="preserve">MID-G8-MAT-C01-VIZ-01</t>
  </si>
  <si>
    <t xml:space="preserve">الثامن</t>
  </si>
  <si>
    <t xml:space="preserve">هندسة</t>
  </si>
  <si>
    <t xml:space="preserve">تصور بصري للأشكال الهندسية</t>
  </si>
  <si>
    <t xml:space="preserve">MID-G8-SCI-C01-SIM-01</t>
  </si>
  <si>
    <t xml:space="preserve">كيمياء</t>
  </si>
  <si>
    <t xml:space="preserve">محاكاة مبادئ الكيمياء</t>
  </si>
  <si>
    <t xml:space="preserve">MID-G7-MAT-C01-GAM-01</t>
  </si>
  <si>
    <t xml:space="preserve">السابع</t>
  </si>
  <si>
    <t xml:space="preserve">أساسيات</t>
  </si>
  <si>
    <t xml:space="preserve">لعبة</t>
  </si>
  <si>
    <t xml:space="preserve">لعبة تعليمية لأساسيات الرياضيات</t>
  </si>
  <si>
    <t xml:space="preserve">MID-G7-SCI-C01-CON-01</t>
  </si>
  <si>
    <t xml:space="preserve">عام</t>
  </si>
  <si>
    <t xml:space="preserve">محتوى علوم تفاعلي</t>
  </si>
  <si>
    <t xml:space="preserve">MID-GX-___-CXX-???-01</t>
  </si>
  <si>
    <t xml:space="preserve">(كل الصفوف)</t>
  </si>
  <si>
    <t xml:space="preserve">محجوز — 30+ مهمة لم تُحدد بعد</t>
  </si>
  <si>
    <t xml:space="preserve">المنهج المتوسط يحتاج مسح كامل</t>
  </si>
  <si>
    <t xml:space="preserve">PRI-G6-MAT-C01-VIZ-01</t>
  </si>
  <si>
    <t xml:space="preserve">الابتدائية</t>
  </si>
  <si>
    <t xml:space="preserve">السادس</t>
  </si>
  <si>
    <t xml:space="preserve">كسور</t>
  </si>
  <si>
    <t xml:space="preserve">تصور بصري تفاعلي للكسور</t>
  </si>
  <si>
    <t xml:space="preserve">PRI-G5-SCI-C01-GAM-01</t>
  </si>
  <si>
    <t xml:space="preserve">الخامس</t>
  </si>
  <si>
    <t xml:space="preserve">جسم الإنسان</t>
  </si>
  <si>
    <t xml:space="preserve">لعبة تعليمية عن جسم الإنسان</t>
  </si>
  <si>
    <t xml:space="preserve">PRI-GX-___-CXX-???-01</t>
  </si>
  <si>
    <t xml:space="preserve">محجوز — 50+ مهمة لم تُحدد بعد</t>
  </si>
  <si>
    <t xml:space="preserve">المنهج الابتدائي يحتاج مسح كامل</t>
  </si>
  <si>
    <t xml:space="preserve">KG-G0-___-CXX-GAM-01</t>
  </si>
  <si>
    <t xml:space="preserve">الروضة</t>
  </si>
  <si>
    <t xml:space="preserve">ألعاب تعليمية تفاعلية للروضة</t>
  </si>
  <si>
    <t xml:space="preserve">GEN-GX-___-CXX-NAV-01</t>
  </si>
  <si>
    <t xml:space="preserve">(كل)</t>
  </si>
  <si>
    <t xml:space="preserve">تنقل</t>
  </si>
  <si>
    <t xml:space="preserve">شريط تنقل ثابت (Navbar)</t>
  </si>
  <si>
    <t xml:space="preserve">GEN-GX-___-CXX-SRC-01</t>
  </si>
  <si>
    <t xml:space="preserve">بحث</t>
  </si>
  <si>
    <t xml:space="preserve">نظام بحث عن المواضيع</t>
  </si>
  <si>
    <t xml:space="preserve">GEN-GX-___-CXX-DRK-01</t>
  </si>
  <si>
    <t xml:space="preserve">تصميم</t>
  </si>
  <si>
    <t xml:space="preserve">وضع ليلي (Dark Mode)</t>
  </si>
  <si>
    <t xml:space="preserve">GEN-GX-___-CXX-PWA-01</t>
  </si>
  <si>
    <t xml:space="preserve">تقني</t>
  </si>
  <si>
    <t xml:space="preserve">دعم PWA (تطبيق جوال)</t>
  </si>
  <si>
    <t xml:space="preserve">GEN-GX-___-CXX-OFF-01</t>
  </si>
  <si>
    <t xml:space="preserve">دعم العمل بدون إنترنت</t>
  </si>
  <si>
    <t xml:space="preserve">GEN-GX-___-CXX-GAM-01</t>
  </si>
  <si>
    <t xml:space="preserve">نظام</t>
  </si>
  <si>
    <t xml:space="preserve">نظام النقاط والشارات</t>
  </si>
  <si>
    <t xml:space="preserve">الفئة</t>
  </si>
  <si>
    <t xml:space="preserve">عدد المهام</t>
  </si>
  <si>
    <t xml:space="preserve">أمثلة</t>
  </si>
  <si>
    <t xml:space="preserve">Must Have
(يجب)</t>
  </si>
  <si>
    <t xml:space="preserve">مهام أساسية — بدونها المشروع لا يحقق هدفه</t>
  </si>
  <si>
    <t xml:space="preserve">معامل الثالث ثانوي، معامل الثاني ثانوي الأساسية، هيكل الموقع</t>
  </si>
  <si>
    <t xml:space="preserve">Should Have
(ينبغي)</t>
  </si>
  <si>
    <t xml:space="preserve">مهام مهمة — تضيف قيمة كبيرة لكن المشروع يعمل بدونها</t>
  </si>
  <si>
    <t xml:space="preserve">محاكاة إضافية، تصورات بصرية، شريط تنقل، بحث</t>
  </si>
  <si>
    <t xml:space="preserve">Could Have
(يمكن)</t>
  </si>
  <si>
    <t xml:space="preserve">مهام مرغوبة — تحسّن التجربة إذا توفر الوقت</t>
  </si>
  <si>
    <t xml:space="preserve">محتوى الابتدائية، وضع ليلي، PWA، محتوى الروضة</t>
  </si>
  <si>
    <t xml:space="preserve">Won't Have (حالياً)
(لن — الآن)</t>
  </si>
  <si>
    <t xml:space="preserve">مهام مؤجلة — ليست في النطاق الحالي لكنها في الخطة المستقبلية</t>
  </si>
  <si>
    <t xml:space="preserve">نظام تقييم، ألعاب، عمل بدون إنترنت، تطبيق جوال</t>
  </si>
  <si>
    <t xml:space="preserve">المهمة</t>
  </si>
  <si>
    <t xml:space="preserve">يعتمد على</t>
  </si>
  <si>
    <t xml:space="preserve">المدة (أسابيع)</t>
  </si>
  <si>
    <t xml:space="preserve">البداية المبكرة</t>
  </si>
  <si>
    <t xml:space="preserve">النهاية المبكرة</t>
  </si>
  <si>
    <t xml:space="preserve">مسار حرج؟</t>
  </si>
  <si>
    <t xml:space="preserve">المرحلة 1 ✅</t>
  </si>
  <si>
    <t xml:space="preserve">SEC-G12-*-LAB</t>
  </si>
  <si>
    <t xml:space="preserve">4 معامل الثالث ثانوي</t>
  </si>
  <si>
    <t xml:space="preserve">أسبوع 1</t>
  </si>
  <si>
    <t xml:space="preserve">أسبوع 12</t>
  </si>
  <si>
    <t xml:space="preserve">✅ نعم (مكتمل)</t>
  </si>
  <si>
    <t xml:space="preserve">المرحلة 2.1</t>
  </si>
  <si>
    <t xml:space="preserve">SEC-G11-CHE-LAB</t>
  </si>
  <si>
    <t xml:space="preserve">معمل كيمياء الثاني ثانوي</t>
  </si>
  <si>
    <t xml:space="preserve">SEC-G12-CHE-LAB</t>
  </si>
  <si>
    <t xml:space="preserve">أسبوع 13</t>
  </si>
  <si>
    <t xml:space="preserve">أسبوع 16</t>
  </si>
  <si>
    <t xml:space="preserve">⚡ نعم</t>
  </si>
  <si>
    <t xml:space="preserve">SEC-G11-PHY-LAB</t>
  </si>
  <si>
    <t xml:space="preserve">معمل فيزياء الثاني ثانوي</t>
  </si>
  <si>
    <t xml:space="preserve">SEC-G12-PHY-LAB</t>
  </si>
  <si>
    <t xml:space="preserve">SEC-G11-MAT-LAB</t>
  </si>
  <si>
    <t xml:space="preserve">معمل رياضيات الثاني ثانوي</t>
  </si>
  <si>
    <t xml:space="preserve">SEC-G12-MAT-LAB</t>
  </si>
  <si>
    <t xml:space="preserve">أسبوع 15</t>
  </si>
  <si>
    <t xml:space="preserve">لا</t>
  </si>
  <si>
    <t xml:space="preserve">SEC-G11-BIO-LAB</t>
  </si>
  <si>
    <t xml:space="preserve">معمل أحياء الثاني ثانوي</t>
  </si>
  <si>
    <t xml:space="preserve">SEC-G12-BIO-LAB</t>
  </si>
  <si>
    <t xml:space="preserve">المرحلة 2.2</t>
  </si>
  <si>
    <t xml:space="preserve">SEC-G10-*-LAB</t>
  </si>
  <si>
    <t xml:space="preserve">معامل الأول ثانوي</t>
  </si>
  <si>
    <t xml:space="preserve">SEC-G11-*-LAB</t>
  </si>
  <si>
    <t xml:space="preserve">أسبوع 17</t>
  </si>
  <si>
    <t xml:space="preserve">أسبوع 22</t>
  </si>
  <si>
    <t xml:space="preserve">المرحلة 2.3</t>
  </si>
  <si>
    <t xml:space="preserve">MID-*-VIZ</t>
  </si>
  <si>
    <t xml:space="preserve">تصورات المتوسطة</t>
  </si>
  <si>
    <t xml:space="preserve">لا (مسار موازي)</t>
  </si>
  <si>
    <t xml:space="preserve">المرحلة 2.4</t>
  </si>
  <si>
    <t xml:space="preserve">GEN-*-NAV/SRC</t>
  </si>
  <si>
    <t xml:space="preserve">تحسينات عامة</t>
  </si>
  <si>
    <t xml:space="preserve">GEN-*-GAM/QIZ</t>
  </si>
  <si>
    <t xml:space="preserve">نظام تقييم + ألعاب</t>
  </si>
  <si>
    <t xml:space="preserve">المرحلة 2</t>
  </si>
  <si>
    <t xml:space="preserve">أسبوع 23</t>
  </si>
  <si>
    <t xml:space="preserve">أسبوع 30</t>
  </si>
  <si>
    <t xml:space="preserve">لوحة متابعة المشروع</t>
  </si>
  <si>
    <t xml:space="preserve">إجمالي المهام المكودة</t>
  </si>
  <si>
    <t xml:space="preserve">مهام مكتملة 🟢</t>
  </si>
  <si>
    <t xml:space="preserve">مهام متاحة 🔴</t>
  </si>
  <si>
    <t xml:space="preserve">مهام قيد العمل 🟡</t>
  </si>
  <si>
    <t xml:space="preserve">مهام محجوزة ⚪</t>
  </si>
  <si>
    <t xml:space="preserve">نسبة الإنجاز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</si>
</sst>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b val="true"/>
      <sz val="11"/>
      <color rgb="FFEF6C00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616161"/>
      <name val="Arial"/>
      <family val="0"/>
      <charset val="1"/>
    </font>
    <font>
      <b val="true"/>
      <sz val="16"/>
      <color rgb="FF1E3A5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1E3A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C8E6C9"/>
        <bgColor rgb="FFCCFFFF"/>
      </patternFill>
    </fill>
    <fill>
      <patternFill patternType="solid">
        <fgColor rgb="FFF5F5F5"/>
        <bgColor rgb="FFFFFFFF"/>
      </patternFill>
    </fill>
    <fill>
      <patternFill patternType="solid">
        <fgColor rgb="FFFFCDD2"/>
        <bgColor rgb="FFCCCCFF"/>
      </patternFill>
    </fill>
    <fill>
      <patternFill patternType="solid">
        <fgColor rgb="FFB71C1C"/>
        <bgColor rgb="FFC6282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62828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EF6C00"/>
      <rgbColor rgb="FF616161"/>
      <rgbColor rgb="FF969696"/>
      <rgbColor rgb="FF1E3A5F"/>
      <rgbColor rgb="FF2E7D32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35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2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customFormat="false" ht="15" hidden="false" customHeight="false" outlineLevel="0" collapsed="false">
      <c r="A3" s="2" t="s">
        <v>24</v>
      </c>
      <c r="B3" s="3" t="s">
        <v>13</v>
      </c>
      <c r="C3" s="3" t="s">
        <v>14</v>
      </c>
      <c r="D3" s="3" t="s">
        <v>25</v>
      </c>
      <c r="E3" s="3" t="s">
        <v>26</v>
      </c>
      <c r="F3" s="3" t="s">
        <v>17</v>
      </c>
      <c r="G3" s="3" t="s">
        <v>27</v>
      </c>
      <c r="H3" s="3" t="s">
        <v>19</v>
      </c>
      <c r="I3" s="3" t="s">
        <v>20</v>
      </c>
      <c r="J3" s="3" t="s">
        <v>21</v>
      </c>
      <c r="K3" s="3" t="s">
        <v>22</v>
      </c>
      <c r="L3" s="3"/>
    </row>
    <row r="4" customFormat="false" ht="15" hidden="false" customHeight="false" outlineLevel="0" collapsed="false">
      <c r="A4" s="2" t="s">
        <v>28</v>
      </c>
      <c r="B4" s="3" t="s">
        <v>13</v>
      </c>
      <c r="C4" s="3" t="s">
        <v>14</v>
      </c>
      <c r="D4" s="3" t="s">
        <v>29</v>
      </c>
      <c r="E4" s="3" t="s">
        <v>30</v>
      </c>
      <c r="F4" s="3" t="s">
        <v>17</v>
      </c>
      <c r="G4" s="3" t="s">
        <v>31</v>
      </c>
      <c r="H4" s="3" t="s">
        <v>19</v>
      </c>
      <c r="I4" s="3" t="s">
        <v>20</v>
      </c>
      <c r="J4" s="3" t="s">
        <v>21</v>
      </c>
      <c r="K4" s="3" t="s">
        <v>22</v>
      </c>
      <c r="L4" s="3"/>
    </row>
    <row r="5" customFormat="false" ht="15" hidden="false" customHeight="false" outlineLevel="0" collapsed="false">
      <c r="A5" s="2" t="s">
        <v>32</v>
      </c>
      <c r="B5" s="3" t="s">
        <v>13</v>
      </c>
      <c r="C5" s="3" t="s">
        <v>14</v>
      </c>
      <c r="D5" s="3" t="s">
        <v>33</v>
      </c>
      <c r="E5" s="3" t="s">
        <v>34</v>
      </c>
      <c r="F5" s="3" t="s">
        <v>17</v>
      </c>
      <c r="G5" s="3" t="s">
        <v>35</v>
      </c>
      <c r="H5" s="3" t="s">
        <v>19</v>
      </c>
      <c r="I5" s="3" t="s">
        <v>20</v>
      </c>
      <c r="J5" s="3" t="s">
        <v>21</v>
      </c>
      <c r="K5" s="3" t="s">
        <v>22</v>
      </c>
      <c r="L5" s="3"/>
    </row>
    <row r="6" customFormat="false" ht="23.85" hidden="false" customHeight="false" outlineLevel="0" collapsed="false">
      <c r="A6" s="4" t="s">
        <v>36</v>
      </c>
      <c r="B6" s="5" t="s">
        <v>13</v>
      </c>
      <c r="C6" s="5" t="s">
        <v>14</v>
      </c>
      <c r="D6" s="5" t="s">
        <v>15</v>
      </c>
      <c r="E6" s="5" t="s">
        <v>37</v>
      </c>
      <c r="F6" s="5" t="s">
        <v>38</v>
      </c>
      <c r="G6" s="5" t="s">
        <v>39</v>
      </c>
      <c r="H6" s="5" t="s">
        <v>40</v>
      </c>
      <c r="I6" s="5"/>
      <c r="J6" s="5" t="s">
        <v>41</v>
      </c>
      <c r="K6" s="5" t="s">
        <v>12</v>
      </c>
      <c r="L6" s="5"/>
    </row>
    <row r="7" customFormat="false" ht="15" hidden="false" customHeight="false" outlineLevel="0" collapsed="false">
      <c r="A7" s="4" t="s">
        <v>42</v>
      </c>
      <c r="B7" s="5" t="s">
        <v>13</v>
      </c>
      <c r="C7" s="5" t="s">
        <v>14</v>
      </c>
      <c r="D7" s="5" t="s">
        <v>15</v>
      </c>
      <c r="E7" s="5" t="s">
        <v>43</v>
      </c>
      <c r="F7" s="5" t="s">
        <v>38</v>
      </c>
      <c r="G7" s="5" t="s">
        <v>44</v>
      </c>
      <c r="H7" s="5" t="s">
        <v>40</v>
      </c>
      <c r="I7" s="5"/>
      <c r="J7" s="5" t="s">
        <v>41</v>
      </c>
      <c r="K7" s="5"/>
      <c r="L7" s="5"/>
    </row>
    <row r="8" customFormat="false" ht="15" hidden="false" customHeight="false" outlineLevel="0" collapsed="false">
      <c r="A8" s="4" t="s">
        <v>45</v>
      </c>
      <c r="B8" s="5" t="s">
        <v>13</v>
      </c>
      <c r="C8" s="5" t="s">
        <v>14</v>
      </c>
      <c r="D8" s="5" t="s">
        <v>15</v>
      </c>
      <c r="E8" s="5" t="s">
        <v>46</v>
      </c>
      <c r="F8" s="5" t="s">
        <v>38</v>
      </c>
      <c r="G8" s="5" t="s">
        <v>47</v>
      </c>
      <c r="H8" s="5" t="s">
        <v>40</v>
      </c>
      <c r="I8" s="5"/>
      <c r="J8" s="5" t="s">
        <v>48</v>
      </c>
      <c r="K8" s="5"/>
      <c r="L8" s="5"/>
    </row>
    <row r="9" customFormat="false" ht="23.85" hidden="false" customHeight="false" outlineLevel="0" collapsed="false">
      <c r="A9" s="6" t="s">
        <v>49</v>
      </c>
      <c r="B9" s="7" t="s">
        <v>13</v>
      </c>
      <c r="C9" s="7" t="s">
        <v>14</v>
      </c>
      <c r="D9" s="7" t="s">
        <v>25</v>
      </c>
      <c r="E9" s="7" t="s">
        <v>50</v>
      </c>
      <c r="F9" s="7" t="s">
        <v>51</v>
      </c>
      <c r="G9" s="7" t="s">
        <v>52</v>
      </c>
      <c r="H9" s="7" t="s">
        <v>53</v>
      </c>
      <c r="I9" s="7"/>
      <c r="J9" s="7" t="s">
        <v>41</v>
      </c>
      <c r="K9" s="7" t="s">
        <v>24</v>
      </c>
      <c r="L9" s="7" t="s">
        <v>54</v>
      </c>
    </row>
    <row r="10" customFormat="false" ht="15" hidden="false" customHeight="false" outlineLevel="0" collapsed="false">
      <c r="A10" s="4" t="s">
        <v>55</v>
      </c>
      <c r="B10" s="5" t="s">
        <v>13</v>
      </c>
      <c r="C10" s="5" t="s">
        <v>14</v>
      </c>
      <c r="D10" s="5" t="s">
        <v>25</v>
      </c>
      <c r="E10" s="5" t="s">
        <v>56</v>
      </c>
      <c r="F10" s="5" t="s">
        <v>38</v>
      </c>
      <c r="G10" s="5" t="s">
        <v>57</v>
      </c>
      <c r="H10" s="5" t="s">
        <v>40</v>
      </c>
      <c r="I10" s="5"/>
      <c r="J10" s="5" t="s">
        <v>48</v>
      </c>
      <c r="K10" s="5"/>
      <c r="L10" s="5"/>
    </row>
    <row r="11" customFormat="false" ht="23.85" hidden="false" customHeight="false" outlineLevel="0" collapsed="false">
      <c r="A11" s="6" t="s">
        <v>58</v>
      </c>
      <c r="B11" s="7" t="s">
        <v>13</v>
      </c>
      <c r="C11" s="7" t="s">
        <v>14</v>
      </c>
      <c r="D11" s="7" t="s">
        <v>29</v>
      </c>
      <c r="E11" s="7" t="s">
        <v>59</v>
      </c>
      <c r="F11" s="7" t="s">
        <v>17</v>
      </c>
      <c r="G11" s="7" t="s">
        <v>60</v>
      </c>
      <c r="H11" s="7" t="s">
        <v>53</v>
      </c>
      <c r="I11" s="7"/>
      <c r="J11" s="7" t="s">
        <v>21</v>
      </c>
      <c r="K11" s="7" t="s">
        <v>28</v>
      </c>
      <c r="L11" s="7" t="s">
        <v>61</v>
      </c>
    </row>
    <row r="12" customFormat="false" ht="15" hidden="false" customHeight="false" outlineLevel="0" collapsed="false">
      <c r="A12" s="6" t="s">
        <v>62</v>
      </c>
      <c r="B12" s="7" t="s">
        <v>13</v>
      </c>
      <c r="C12" s="7" t="s">
        <v>14</v>
      </c>
      <c r="D12" s="7" t="s">
        <v>29</v>
      </c>
      <c r="E12" s="7" t="s">
        <v>63</v>
      </c>
      <c r="F12" s="7" t="s">
        <v>64</v>
      </c>
      <c r="G12" s="7" t="s">
        <v>65</v>
      </c>
      <c r="H12" s="7" t="s">
        <v>53</v>
      </c>
      <c r="I12" s="7"/>
      <c r="J12" s="7" t="s">
        <v>41</v>
      </c>
      <c r="K12" s="7"/>
      <c r="L12" s="7"/>
    </row>
    <row r="13" customFormat="false" ht="23.85" hidden="false" customHeight="false" outlineLevel="0" collapsed="false">
      <c r="A13" s="6" t="s">
        <v>66</v>
      </c>
      <c r="B13" s="7" t="s">
        <v>13</v>
      </c>
      <c r="C13" s="7" t="s">
        <v>14</v>
      </c>
      <c r="D13" s="7" t="s">
        <v>33</v>
      </c>
      <c r="E13" s="7" t="s">
        <v>67</v>
      </c>
      <c r="F13" s="7" t="s">
        <v>51</v>
      </c>
      <c r="G13" s="7" t="s">
        <v>68</v>
      </c>
      <c r="H13" s="7" t="s">
        <v>53</v>
      </c>
      <c r="I13" s="7"/>
      <c r="J13" s="7" t="s">
        <v>21</v>
      </c>
      <c r="K13" s="7" t="s">
        <v>32</v>
      </c>
      <c r="L13" s="7"/>
    </row>
    <row r="14" customFormat="false" ht="15" hidden="false" customHeight="false" outlineLevel="0" collapsed="false">
      <c r="A14" s="4" t="s">
        <v>69</v>
      </c>
      <c r="B14" s="5" t="s">
        <v>13</v>
      </c>
      <c r="C14" s="5" t="s">
        <v>14</v>
      </c>
      <c r="D14" s="5" t="s">
        <v>33</v>
      </c>
      <c r="E14" s="5" t="s">
        <v>70</v>
      </c>
      <c r="F14" s="5" t="s">
        <v>38</v>
      </c>
      <c r="G14" s="5" t="s">
        <v>71</v>
      </c>
      <c r="H14" s="5" t="s">
        <v>40</v>
      </c>
      <c r="I14" s="5"/>
      <c r="J14" s="5" t="s">
        <v>48</v>
      </c>
      <c r="K14" s="5"/>
      <c r="L14" s="5"/>
    </row>
    <row r="15" customFormat="false" ht="15" hidden="false" customHeight="false" outlineLevel="0" collapsed="false">
      <c r="A15" s="4" t="s">
        <v>72</v>
      </c>
      <c r="B15" s="5" t="s">
        <v>13</v>
      </c>
      <c r="C15" s="5" t="s">
        <v>14</v>
      </c>
      <c r="D15" s="5" t="s">
        <v>73</v>
      </c>
      <c r="E15" s="5" t="s">
        <v>74</v>
      </c>
      <c r="F15" s="5" t="s">
        <v>75</v>
      </c>
      <c r="G15" s="5" t="s">
        <v>76</v>
      </c>
      <c r="H15" s="5" t="s">
        <v>40</v>
      </c>
      <c r="I15" s="5"/>
      <c r="J15" s="5" t="s">
        <v>77</v>
      </c>
      <c r="K15" s="5"/>
      <c r="L15" s="5" t="s">
        <v>78</v>
      </c>
    </row>
    <row r="16" customFormat="false" ht="15" hidden="false" customHeight="false" outlineLevel="0" collapsed="false">
      <c r="A16" s="6" t="s">
        <v>79</v>
      </c>
      <c r="B16" s="7" t="s">
        <v>13</v>
      </c>
      <c r="C16" s="7" t="s">
        <v>80</v>
      </c>
      <c r="D16" s="7" t="s">
        <v>15</v>
      </c>
      <c r="E16" s="7" t="s">
        <v>81</v>
      </c>
      <c r="F16" s="7" t="s">
        <v>17</v>
      </c>
      <c r="G16" s="7" t="s">
        <v>82</v>
      </c>
      <c r="H16" s="7" t="s">
        <v>53</v>
      </c>
      <c r="I16" s="7"/>
      <c r="J16" s="7" t="s">
        <v>21</v>
      </c>
      <c r="K16" s="7"/>
      <c r="L16" s="7" t="s">
        <v>83</v>
      </c>
    </row>
    <row r="17" customFormat="false" ht="23.85" hidden="false" customHeight="false" outlineLevel="0" collapsed="false">
      <c r="A17" s="6" t="s">
        <v>84</v>
      </c>
      <c r="B17" s="7" t="s">
        <v>13</v>
      </c>
      <c r="C17" s="7" t="s">
        <v>80</v>
      </c>
      <c r="D17" s="7" t="s">
        <v>15</v>
      </c>
      <c r="E17" s="7" t="s">
        <v>85</v>
      </c>
      <c r="F17" s="7" t="s">
        <v>51</v>
      </c>
      <c r="G17" s="7" t="s">
        <v>86</v>
      </c>
      <c r="H17" s="7" t="s">
        <v>53</v>
      </c>
      <c r="I17" s="7"/>
      <c r="J17" s="7" t="s">
        <v>41</v>
      </c>
      <c r="K17" s="7" t="s">
        <v>79</v>
      </c>
      <c r="L17" s="7"/>
    </row>
    <row r="18" customFormat="false" ht="15" hidden="false" customHeight="false" outlineLevel="0" collapsed="false">
      <c r="A18" s="4" t="s">
        <v>87</v>
      </c>
      <c r="B18" s="5" t="s">
        <v>13</v>
      </c>
      <c r="C18" s="5" t="s">
        <v>80</v>
      </c>
      <c r="D18" s="5" t="s">
        <v>15</v>
      </c>
      <c r="E18" s="5" t="s">
        <v>88</v>
      </c>
      <c r="F18" s="5" t="s">
        <v>38</v>
      </c>
      <c r="G18" s="5" t="s">
        <v>89</v>
      </c>
      <c r="H18" s="5" t="s">
        <v>40</v>
      </c>
      <c r="I18" s="5"/>
      <c r="J18" s="5" t="s">
        <v>41</v>
      </c>
      <c r="K18" s="5"/>
      <c r="L18" s="5"/>
    </row>
    <row r="19" customFormat="false" ht="15" hidden="false" customHeight="false" outlineLevel="0" collapsed="false">
      <c r="A19" s="4" t="s">
        <v>90</v>
      </c>
      <c r="B19" s="5" t="s">
        <v>13</v>
      </c>
      <c r="C19" s="5" t="s">
        <v>80</v>
      </c>
      <c r="D19" s="5" t="s">
        <v>15</v>
      </c>
      <c r="E19" s="5" t="s">
        <v>91</v>
      </c>
      <c r="F19" s="5" t="s">
        <v>38</v>
      </c>
      <c r="G19" s="5" t="s">
        <v>92</v>
      </c>
      <c r="H19" s="5" t="s">
        <v>40</v>
      </c>
      <c r="I19" s="5"/>
      <c r="J19" s="5" t="s">
        <v>48</v>
      </c>
      <c r="K19" s="5"/>
      <c r="L19" s="5"/>
    </row>
    <row r="20" customFormat="false" ht="15" hidden="false" customHeight="false" outlineLevel="0" collapsed="false">
      <c r="A20" s="6" t="s">
        <v>93</v>
      </c>
      <c r="B20" s="7" t="s">
        <v>13</v>
      </c>
      <c r="C20" s="7" t="s">
        <v>80</v>
      </c>
      <c r="D20" s="7" t="s">
        <v>25</v>
      </c>
      <c r="E20" s="7" t="s">
        <v>50</v>
      </c>
      <c r="F20" s="7" t="s">
        <v>17</v>
      </c>
      <c r="G20" s="7" t="s">
        <v>94</v>
      </c>
      <c r="H20" s="7" t="s">
        <v>53</v>
      </c>
      <c r="I20" s="7"/>
      <c r="J20" s="7" t="s">
        <v>21</v>
      </c>
      <c r="K20" s="7"/>
      <c r="L20" s="7"/>
    </row>
    <row r="21" customFormat="false" ht="15" hidden="false" customHeight="false" outlineLevel="0" collapsed="false">
      <c r="A21" s="6" t="s">
        <v>95</v>
      </c>
      <c r="B21" s="7" t="s">
        <v>13</v>
      </c>
      <c r="C21" s="7" t="s">
        <v>80</v>
      </c>
      <c r="D21" s="7" t="s">
        <v>25</v>
      </c>
      <c r="E21" s="7" t="s">
        <v>96</v>
      </c>
      <c r="F21" s="7" t="s">
        <v>51</v>
      </c>
      <c r="G21" s="7" t="s">
        <v>97</v>
      </c>
      <c r="H21" s="7" t="s">
        <v>53</v>
      </c>
      <c r="I21" s="7"/>
      <c r="J21" s="7" t="s">
        <v>41</v>
      </c>
      <c r="K21" s="7"/>
      <c r="L21" s="7"/>
    </row>
    <row r="22" customFormat="false" ht="15" hidden="false" customHeight="false" outlineLevel="0" collapsed="false">
      <c r="A22" s="4" t="s">
        <v>98</v>
      </c>
      <c r="B22" s="5" t="s">
        <v>13</v>
      </c>
      <c r="C22" s="5" t="s">
        <v>80</v>
      </c>
      <c r="D22" s="5" t="s">
        <v>25</v>
      </c>
      <c r="E22" s="5" t="s">
        <v>99</v>
      </c>
      <c r="F22" s="5" t="s">
        <v>38</v>
      </c>
      <c r="G22" s="5" t="s">
        <v>100</v>
      </c>
      <c r="H22" s="5" t="s">
        <v>40</v>
      </c>
      <c r="I22" s="5"/>
      <c r="J22" s="5" t="s">
        <v>41</v>
      </c>
      <c r="K22" s="5"/>
      <c r="L22" s="5"/>
    </row>
    <row r="23" customFormat="false" ht="15" hidden="false" customHeight="false" outlineLevel="0" collapsed="false">
      <c r="A23" s="6" t="s">
        <v>101</v>
      </c>
      <c r="B23" s="7" t="s">
        <v>13</v>
      </c>
      <c r="C23" s="7" t="s">
        <v>80</v>
      </c>
      <c r="D23" s="7" t="s">
        <v>29</v>
      </c>
      <c r="E23" s="7" t="s">
        <v>102</v>
      </c>
      <c r="F23" s="7" t="s">
        <v>17</v>
      </c>
      <c r="G23" s="7" t="s">
        <v>103</v>
      </c>
      <c r="H23" s="7" t="s">
        <v>53</v>
      </c>
      <c r="I23" s="7"/>
      <c r="J23" s="7" t="s">
        <v>21</v>
      </c>
      <c r="K23" s="7"/>
      <c r="L23" s="7"/>
    </row>
    <row r="24" customFormat="false" ht="15" hidden="false" customHeight="false" outlineLevel="0" collapsed="false">
      <c r="A24" s="6" t="s">
        <v>104</v>
      </c>
      <c r="B24" s="7" t="s">
        <v>13</v>
      </c>
      <c r="C24" s="7" t="s">
        <v>80</v>
      </c>
      <c r="D24" s="7" t="s">
        <v>29</v>
      </c>
      <c r="E24" s="7" t="s">
        <v>63</v>
      </c>
      <c r="F24" s="7" t="s">
        <v>64</v>
      </c>
      <c r="G24" s="7" t="s">
        <v>105</v>
      </c>
      <c r="H24" s="7" t="s">
        <v>53</v>
      </c>
      <c r="I24" s="7"/>
      <c r="J24" s="7" t="s">
        <v>41</v>
      </c>
      <c r="K24" s="7"/>
      <c r="L24" s="7"/>
    </row>
    <row r="25" customFormat="false" ht="15" hidden="false" customHeight="false" outlineLevel="0" collapsed="false">
      <c r="A25" s="6" t="s">
        <v>106</v>
      </c>
      <c r="B25" s="7" t="s">
        <v>13</v>
      </c>
      <c r="C25" s="7" t="s">
        <v>80</v>
      </c>
      <c r="D25" s="7" t="s">
        <v>33</v>
      </c>
      <c r="E25" s="7" t="s">
        <v>67</v>
      </c>
      <c r="F25" s="7" t="s">
        <v>17</v>
      </c>
      <c r="G25" s="7" t="s">
        <v>107</v>
      </c>
      <c r="H25" s="7" t="s">
        <v>53</v>
      </c>
      <c r="I25" s="7"/>
      <c r="J25" s="7" t="s">
        <v>21</v>
      </c>
      <c r="K25" s="7"/>
      <c r="L25" s="7"/>
    </row>
    <row r="26" customFormat="false" ht="23.85" hidden="false" customHeight="false" outlineLevel="0" collapsed="false">
      <c r="A26" s="6" t="s">
        <v>108</v>
      </c>
      <c r="B26" s="7" t="s">
        <v>13</v>
      </c>
      <c r="C26" s="7" t="s">
        <v>80</v>
      </c>
      <c r="D26" s="7" t="s">
        <v>33</v>
      </c>
      <c r="E26" s="7" t="s">
        <v>109</v>
      </c>
      <c r="F26" s="7" t="s">
        <v>51</v>
      </c>
      <c r="G26" s="7" t="s">
        <v>110</v>
      </c>
      <c r="H26" s="7" t="s">
        <v>53</v>
      </c>
      <c r="I26" s="7"/>
      <c r="J26" s="7" t="s">
        <v>41</v>
      </c>
      <c r="K26" s="7" t="s">
        <v>106</v>
      </c>
      <c r="L26" s="7"/>
    </row>
    <row r="27" customFormat="false" ht="15" hidden="false" customHeight="false" outlineLevel="0" collapsed="false">
      <c r="A27" s="4" t="s">
        <v>111</v>
      </c>
      <c r="B27" s="5" t="s">
        <v>13</v>
      </c>
      <c r="C27" s="5" t="s">
        <v>80</v>
      </c>
      <c r="D27" s="5" t="s">
        <v>112</v>
      </c>
      <c r="E27" s="5" t="s">
        <v>112</v>
      </c>
      <c r="F27" s="5" t="s">
        <v>112</v>
      </c>
      <c r="G27" s="5" t="s">
        <v>113</v>
      </c>
      <c r="H27" s="5" t="s">
        <v>40</v>
      </c>
      <c r="I27" s="5"/>
      <c r="J27" s="5"/>
      <c r="K27" s="5"/>
      <c r="L27" s="5" t="s">
        <v>114</v>
      </c>
    </row>
    <row r="28" customFormat="false" ht="15" hidden="false" customHeight="false" outlineLevel="0" collapsed="false">
      <c r="A28" s="4" t="s">
        <v>115</v>
      </c>
      <c r="B28" s="5" t="s">
        <v>13</v>
      </c>
      <c r="C28" s="5" t="s">
        <v>80</v>
      </c>
      <c r="D28" s="5" t="s">
        <v>112</v>
      </c>
      <c r="E28" s="5" t="s">
        <v>112</v>
      </c>
      <c r="F28" s="5" t="s">
        <v>112</v>
      </c>
      <c r="G28" s="5" t="s">
        <v>113</v>
      </c>
      <c r="H28" s="5" t="s">
        <v>40</v>
      </c>
      <c r="I28" s="5"/>
      <c r="J28" s="5"/>
      <c r="K28" s="5"/>
      <c r="L28" s="5" t="s">
        <v>114</v>
      </c>
    </row>
    <row r="29" customFormat="false" ht="15" hidden="false" customHeight="false" outlineLevel="0" collapsed="false">
      <c r="A29" s="6" t="s">
        <v>116</v>
      </c>
      <c r="B29" s="7" t="s">
        <v>13</v>
      </c>
      <c r="C29" s="7" t="s">
        <v>117</v>
      </c>
      <c r="D29" s="7" t="s">
        <v>15</v>
      </c>
      <c r="E29" s="7" t="s">
        <v>118</v>
      </c>
      <c r="F29" s="7" t="s">
        <v>17</v>
      </c>
      <c r="G29" s="7" t="s">
        <v>119</v>
      </c>
      <c r="H29" s="7" t="s">
        <v>53</v>
      </c>
      <c r="I29" s="7"/>
      <c r="J29" s="7" t="s">
        <v>41</v>
      </c>
      <c r="K29" s="7"/>
      <c r="L29" s="7"/>
    </row>
    <row r="30" customFormat="false" ht="15" hidden="false" customHeight="false" outlineLevel="0" collapsed="false">
      <c r="A30" s="6" t="s">
        <v>120</v>
      </c>
      <c r="B30" s="7" t="s">
        <v>13</v>
      </c>
      <c r="C30" s="7" t="s">
        <v>117</v>
      </c>
      <c r="D30" s="7" t="s">
        <v>15</v>
      </c>
      <c r="E30" s="7" t="s">
        <v>121</v>
      </c>
      <c r="F30" s="7" t="s">
        <v>51</v>
      </c>
      <c r="G30" s="7" t="s">
        <v>122</v>
      </c>
      <c r="H30" s="7" t="s">
        <v>53</v>
      </c>
      <c r="I30" s="7"/>
      <c r="J30" s="7" t="s">
        <v>41</v>
      </c>
      <c r="K30" s="7"/>
      <c r="L30" s="7"/>
    </row>
    <row r="31" customFormat="false" ht="15" hidden="false" customHeight="false" outlineLevel="0" collapsed="false">
      <c r="A31" s="6" t="s">
        <v>123</v>
      </c>
      <c r="B31" s="7" t="s">
        <v>13</v>
      </c>
      <c r="C31" s="7" t="s">
        <v>117</v>
      </c>
      <c r="D31" s="7" t="s">
        <v>25</v>
      </c>
      <c r="E31" s="7" t="s">
        <v>124</v>
      </c>
      <c r="F31" s="7" t="s">
        <v>17</v>
      </c>
      <c r="G31" s="7" t="s">
        <v>125</v>
      </c>
      <c r="H31" s="7" t="s">
        <v>53</v>
      </c>
      <c r="I31" s="7"/>
      <c r="J31" s="7" t="s">
        <v>41</v>
      </c>
      <c r="K31" s="7"/>
      <c r="L31" s="7"/>
    </row>
    <row r="32" customFormat="false" ht="15" hidden="false" customHeight="false" outlineLevel="0" collapsed="false">
      <c r="A32" s="6" t="s">
        <v>126</v>
      </c>
      <c r="B32" s="7" t="s">
        <v>13</v>
      </c>
      <c r="C32" s="7" t="s">
        <v>117</v>
      </c>
      <c r="D32" s="7" t="s">
        <v>25</v>
      </c>
      <c r="E32" s="7" t="s">
        <v>127</v>
      </c>
      <c r="F32" s="7" t="s">
        <v>51</v>
      </c>
      <c r="G32" s="7" t="s">
        <v>128</v>
      </c>
      <c r="H32" s="7" t="s">
        <v>53</v>
      </c>
      <c r="I32" s="7"/>
      <c r="J32" s="7" t="s">
        <v>41</v>
      </c>
      <c r="K32" s="7"/>
      <c r="L32" s="7"/>
    </row>
    <row r="33" customFormat="false" ht="15" hidden="false" customHeight="false" outlineLevel="0" collapsed="false">
      <c r="A33" s="6" t="s">
        <v>129</v>
      </c>
      <c r="B33" s="7" t="s">
        <v>13</v>
      </c>
      <c r="C33" s="7" t="s">
        <v>117</v>
      </c>
      <c r="D33" s="7" t="s">
        <v>29</v>
      </c>
      <c r="E33" s="7" t="s">
        <v>130</v>
      </c>
      <c r="F33" s="7" t="s">
        <v>64</v>
      </c>
      <c r="G33" s="7" t="s">
        <v>131</v>
      </c>
      <c r="H33" s="7" t="s">
        <v>53</v>
      </c>
      <c r="I33" s="7"/>
      <c r="J33" s="7" t="s">
        <v>41</v>
      </c>
      <c r="K33" s="7"/>
      <c r="L33" s="7"/>
    </row>
    <row r="34" customFormat="false" ht="15" hidden="false" customHeight="false" outlineLevel="0" collapsed="false">
      <c r="A34" s="6" t="s">
        <v>132</v>
      </c>
      <c r="B34" s="7" t="s">
        <v>13</v>
      </c>
      <c r="C34" s="7" t="s">
        <v>117</v>
      </c>
      <c r="D34" s="7" t="s">
        <v>33</v>
      </c>
      <c r="E34" s="7" t="s">
        <v>133</v>
      </c>
      <c r="F34" s="7" t="s">
        <v>51</v>
      </c>
      <c r="G34" s="7" t="s">
        <v>134</v>
      </c>
      <c r="H34" s="7" t="s">
        <v>53</v>
      </c>
      <c r="I34" s="7"/>
      <c r="J34" s="7" t="s">
        <v>41</v>
      </c>
      <c r="K34" s="7"/>
      <c r="L34" s="7"/>
    </row>
    <row r="35" customFormat="false" ht="15" hidden="false" customHeight="false" outlineLevel="0" collapsed="false">
      <c r="A35" s="6" t="s">
        <v>135</v>
      </c>
      <c r="B35" s="7" t="s">
        <v>13</v>
      </c>
      <c r="C35" s="7" t="s">
        <v>117</v>
      </c>
      <c r="D35" s="7" t="s">
        <v>33</v>
      </c>
      <c r="E35" s="7" t="s">
        <v>136</v>
      </c>
      <c r="F35" s="7" t="s">
        <v>38</v>
      </c>
      <c r="G35" s="7" t="s">
        <v>137</v>
      </c>
      <c r="H35" s="7" t="s">
        <v>53</v>
      </c>
      <c r="I35" s="7"/>
      <c r="J35" s="7" t="s">
        <v>48</v>
      </c>
      <c r="K35" s="7"/>
      <c r="L35" s="7"/>
    </row>
    <row r="36" customFormat="false" ht="15" hidden="false" customHeight="false" outlineLevel="0" collapsed="false">
      <c r="A36" s="4" t="s">
        <v>138</v>
      </c>
      <c r="B36" s="5" t="s">
        <v>13</v>
      </c>
      <c r="C36" s="5" t="s">
        <v>117</v>
      </c>
      <c r="D36" s="5" t="s">
        <v>112</v>
      </c>
      <c r="E36" s="5" t="s">
        <v>74</v>
      </c>
      <c r="F36" s="5" t="s">
        <v>112</v>
      </c>
      <c r="G36" s="5" t="s">
        <v>139</v>
      </c>
      <c r="H36" s="5" t="s">
        <v>40</v>
      </c>
      <c r="I36" s="5"/>
      <c r="J36" s="5"/>
      <c r="K36" s="5"/>
      <c r="L36" s="5"/>
    </row>
    <row r="37" customFormat="false" ht="15" hidden="false" customHeight="false" outlineLevel="0" collapsed="false">
      <c r="A37" s="6" t="s">
        <v>140</v>
      </c>
      <c r="B37" s="7" t="s">
        <v>141</v>
      </c>
      <c r="C37" s="7" t="s">
        <v>142</v>
      </c>
      <c r="D37" s="7" t="s">
        <v>29</v>
      </c>
      <c r="E37" s="7" t="s">
        <v>143</v>
      </c>
      <c r="F37" s="7" t="s">
        <v>64</v>
      </c>
      <c r="G37" s="7" t="s">
        <v>144</v>
      </c>
      <c r="H37" s="7" t="s">
        <v>53</v>
      </c>
      <c r="I37" s="7"/>
      <c r="J37" s="7" t="s">
        <v>41</v>
      </c>
      <c r="K37" s="7"/>
      <c r="L37" s="7"/>
    </row>
    <row r="38" customFormat="false" ht="15" hidden="false" customHeight="false" outlineLevel="0" collapsed="false">
      <c r="A38" s="6" t="s">
        <v>145</v>
      </c>
      <c r="B38" s="7" t="s">
        <v>141</v>
      </c>
      <c r="C38" s="7" t="s">
        <v>142</v>
      </c>
      <c r="D38" s="7" t="s">
        <v>146</v>
      </c>
      <c r="E38" s="7" t="s">
        <v>147</v>
      </c>
      <c r="F38" s="7" t="s">
        <v>51</v>
      </c>
      <c r="G38" s="7" t="s">
        <v>148</v>
      </c>
      <c r="H38" s="7" t="s">
        <v>53</v>
      </c>
      <c r="I38" s="7"/>
      <c r="J38" s="7" t="s">
        <v>41</v>
      </c>
      <c r="K38" s="7"/>
      <c r="L38" s="7"/>
    </row>
    <row r="39" customFormat="false" ht="15" hidden="false" customHeight="false" outlineLevel="0" collapsed="false">
      <c r="A39" s="6" t="s">
        <v>149</v>
      </c>
      <c r="B39" s="7" t="s">
        <v>141</v>
      </c>
      <c r="C39" s="7" t="s">
        <v>150</v>
      </c>
      <c r="D39" s="7" t="s">
        <v>29</v>
      </c>
      <c r="E39" s="7" t="s">
        <v>151</v>
      </c>
      <c r="F39" s="7" t="s">
        <v>64</v>
      </c>
      <c r="G39" s="7" t="s">
        <v>152</v>
      </c>
      <c r="H39" s="7" t="s">
        <v>53</v>
      </c>
      <c r="I39" s="7"/>
      <c r="J39" s="7" t="s">
        <v>48</v>
      </c>
      <c r="K39" s="7"/>
      <c r="L39" s="7"/>
    </row>
    <row r="40" customFormat="false" ht="15" hidden="false" customHeight="false" outlineLevel="0" collapsed="false">
      <c r="A40" s="4" t="s">
        <v>153</v>
      </c>
      <c r="B40" s="5" t="s">
        <v>141</v>
      </c>
      <c r="C40" s="5" t="s">
        <v>150</v>
      </c>
      <c r="D40" s="5" t="s">
        <v>146</v>
      </c>
      <c r="E40" s="5" t="s">
        <v>154</v>
      </c>
      <c r="F40" s="5" t="s">
        <v>51</v>
      </c>
      <c r="G40" s="5" t="s">
        <v>155</v>
      </c>
      <c r="H40" s="5" t="s">
        <v>40</v>
      </c>
      <c r="I40" s="5"/>
      <c r="J40" s="5" t="s">
        <v>48</v>
      </c>
      <c r="K40" s="5"/>
      <c r="L40" s="5"/>
    </row>
    <row r="41" customFormat="false" ht="15" hidden="false" customHeight="false" outlineLevel="0" collapsed="false">
      <c r="A41" s="6" t="s">
        <v>156</v>
      </c>
      <c r="B41" s="7" t="s">
        <v>141</v>
      </c>
      <c r="C41" s="7" t="s">
        <v>157</v>
      </c>
      <c r="D41" s="7" t="s">
        <v>29</v>
      </c>
      <c r="E41" s="7" t="s">
        <v>158</v>
      </c>
      <c r="F41" s="7" t="s">
        <v>159</v>
      </c>
      <c r="G41" s="7" t="s">
        <v>160</v>
      </c>
      <c r="H41" s="7" t="s">
        <v>53</v>
      </c>
      <c r="I41" s="7"/>
      <c r="J41" s="7" t="s">
        <v>48</v>
      </c>
      <c r="K41" s="7"/>
      <c r="L41" s="7"/>
    </row>
    <row r="42" customFormat="false" ht="15" hidden="false" customHeight="false" outlineLevel="0" collapsed="false">
      <c r="A42" s="4" t="s">
        <v>161</v>
      </c>
      <c r="B42" s="5" t="s">
        <v>141</v>
      </c>
      <c r="C42" s="5" t="s">
        <v>157</v>
      </c>
      <c r="D42" s="5" t="s">
        <v>146</v>
      </c>
      <c r="E42" s="5" t="s">
        <v>162</v>
      </c>
      <c r="F42" s="5" t="s">
        <v>38</v>
      </c>
      <c r="G42" s="5" t="s">
        <v>163</v>
      </c>
      <c r="H42" s="5" t="s">
        <v>40</v>
      </c>
      <c r="I42" s="5"/>
      <c r="J42" s="5" t="s">
        <v>48</v>
      </c>
      <c r="K42" s="5"/>
      <c r="L42" s="5"/>
    </row>
    <row r="43" customFormat="false" ht="23.85" hidden="false" customHeight="false" outlineLevel="0" collapsed="false">
      <c r="A43" s="4" t="s">
        <v>164</v>
      </c>
      <c r="B43" s="5" t="s">
        <v>141</v>
      </c>
      <c r="C43" s="5" t="s">
        <v>165</v>
      </c>
      <c r="D43" s="5" t="s">
        <v>112</v>
      </c>
      <c r="E43" s="5" t="s">
        <v>74</v>
      </c>
      <c r="F43" s="5" t="s">
        <v>112</v>
      </c>
      <c r="G43" s="5" t="s">
        <v>166</v>
      </c>
      <c r="H43" s="5" t="s">
        <v>40</v>
      </c>
      <c r="I43" s="5"/>
      <c r="J43" s="5"/>
      <c r="K43" s="5"/>
      <c r="L43" s="5" t="s">
        <v>167</v>
      </c>
    </row>
    <row r="44" customFormat="false" ht="15" hidden="false" customHeight="false" outlineLevel="0" collapsed="false">
      <c r="A44" s="4" t="s">
        <v>168</v>
      </c>
      <c r="B44" s="5" t="s">
        <v>169</v>
      </c>
      <c r="C44" s="5" t="s">
        <v>170</v>
      </c>
      <c r="D44" s="5" t="s">
        <v>29</v>
      </c>
      <c r="E44" s="5" t="s">
        <v>171</v>
      </c>
      <c r="F44" s="5" t="s">
        <v>64</v>
      </c>
      <c r="G44" s="5" t="s">
        <v>172</v>
      </c>
      <c r="H44" s="5" t="s">
        <v>40</v>
      </c>
      <c r="I44" s="5"/>
      <c r="J44" s="5" t="s">
        <v>48</v>
      </c>
      <c r="K44" s="5"/>
      <c r="L44" s="5"/>
    </row>
    <row r="45" customFormat="false" ht="15" hidden="false" customHeight="false" outlineLevel="0" collapsed="false">
      <c r="A45" s="4" t="s">
        <v>173</v>
      </c>
      <c r="B45" s="5" t="s">
        <v>169</v>
      </c>
      <c r="C45" s="5" t="s">
        <v>174</v>
      </c>
      <c r="D45" s="5" t="s">
        <v>146</v>
      </c>
      <c r="E45" s="5" t="s">
        <v>175</v>
      </c>
      <c r="F45" s="5" t="s">
        <v>159</v>
      </c>
      <c r="G45" s="5" t="s">
        <v>176</v>
      </c>
      <c r="H45" s="5" t="s">
        <v>40</v>
      </c>
      <c r="I45" s="5"/>
      <c r="J45" s="5" t="s">
        <v>48</v>
      </c>
      <c r="K45" s="5"/>
      <c r="L45" s="5"/>
    </row>
    <row r="46" customFormat="false" ht="15" hidden="false" customHeight="false" outlineLevel="0" collapsed="false">
      <c r="A46" s="4" t="s">
        <v>177</v>
      </c>
      <c r="B46" s="5" t="s">
        <v>169</v>
      </c>
      <c r="C46" s="5" t="s">
        <v>165</v>
      </c>
      <c r="D46" s="5" t="s">
        <v>112</v>
      </c>
      <c r="E46" s="5" t="s">
        <v>74</v>
      </c>
      <c r="F46" s="5" t="s">
        <v>112</v>
      </c>
      <c r="G46" s="5" t="s">
        <v>178</v>
      </c>
      <c r="H46" s="5" t="s">
        <v>40</v>
      </c>
      <c r="I46" s="5"/>
      <c r="J46" s="5"/>
      <c r="K46" s="5"/>
      <c r="L46" s="5" t="s">
        <v>179</v>
      </c>
    </row>
    <row r="47" customFormat="false" ht="15" hidden="false" customHeight="false" outlineLevel="0" collapsed="false">
      <c r="A47" s="4" t="s">
        <v>180</v>
      </c>
      <c r="B47" s="5" t="s">
        <v>181</v>
      </c>
      <c r="C47" s="5" t="s">
        <v>181</v>
      </c>
      <c r="D47" s="5" t="s">
        <v>112</v>
      </c>
      <c r="E47" s="5" t="s">
        <v>74</v>
      </c>
      <c r="F47" s="5" t="s">
        <v>159</v>
      </c>
      <c r="G47" s="5" t="s">
        <v>182</v>
      </c>
      <c r="H47" s="5" t="s">
        <v>40</v>
      </c>
      <c r="I47" s="5"/>
      <c r="J47" s="5" t="s">
        <v>77</v>
      </c>
      <c r="K47" s="5"/>
      <c r="L47" s="5" t="s">
        <v>78</v>
      </c>
    </row>
    <row r="48" customFormat="false" ht="15" hidden="false" customHeight="false" outlineLevel="0" collapsed="false">
      <c r="A48" s="6" t="s">
        <v>183</v>
      </c>
      <c r="B48" s="7" t="s">
        <v>162</v>
      </c>
      <c r="C48" s="7" t="s">
        <v>184</v>
      </c>
      <c r="D48" s="7" t="s">
        <v>74</v>
      </c>
      <c r="E48" s="7" t="s">
        <v>74</v>
      </c>
      <c r="F48" s="7" t="s">
        <v>185</v>
      </c>
      <c r="G48" s="7" t="s">
        <v>186</v>
      </c>
      <c r="H48" s="7" t="s">
        <v>53</v>
      </c>
      <c r="I48" s="7"/>
      <c r="J48" s="7" t="s">
        <v>41</v>
      </c>
      <c r="K48" s="7"/>
      <c r="L48" s="7"/>
    </row>
    <row r="49" customFormat="false" ht="15" hidden="false" customHeight="false" outlineLevel="0" collapsed="false">
      <c r="A49" s="6" t="s">
        <v>187</v>
      </c>
      <c r="B49" s="7" t="s">
        <v>162</v>
      </c>
      <c r="C49" s="7" t="s">
        <v>184</v>
      </c>
      <c r="D49" s="7" t="s">
        <v>74</v>
      </c>
      <c r="E49" s="7" t="s">
        <v>74</v>
      </c>
      <c r="F49" s="7" t="s">
        <v>188</v>
      </c>
      <c r="G49" s="7" t="s">
        <v>189</v>
      </c>
      <c r="H49" s="7" t="s">
        <v>53</v>
      </c>
      <c r="I49" s="7"/>
      <c r="J49" s="7" t="s">
        <v>41</v>
      </c>
      <c r="K49" s="7"/>
      <c r="L49" s="7"/>
    </row>
    <row r="50" customFormat="false" ht="15" hidden="false" customHeight="false" outlineLevel="0" collapsed="false">
      <c r="A50" s="6" t="s">
        <v>190</v>
      </c>
      <c r="B50" s="7" t="s">
        <v>162</v>
      </c>
      <c r="C50" s="7" t="s">
        <v>184</v>
      </c>
      <c r="D50" s="7" t="s">
        <v>74</v>
      </c>
      <c r="E50" s="7" t="s">
        <v>74</v>
      </c>
      <c r="F50" s="7" t="s">
        <v>191</v>
      </c>
      <c r="G50" s="7" t="s">
        <v>192</v>
      </c>
      <c r="H50" s="7" t="s">
        <v>53</v>
      </c>
      <c r="I50" s="7"/>
      <c r="J50" s="7" t="s">
        <v>48</v>
      </c>
      <c r="K50" s="7"/>
      <c r="L50" s="7"/>
    </row>
    <row r="51" customFormat="false" ht="15" hidden="false" customHeight="false" outlineLevel="0" collapsed="false">
      <c r="A51" s="4" t="s">
        <v>193</v>
      </c>
      <c r="B51" s="5" t="s">
        <v>162</v>
      </c>
      <c r="C51" s="5" t="s">
        <v>184</v>
      </c>
      <c r="D51" s="5" t="s">
        <v>74</v>
      </c>
      <c r="E51" s="5" t="s">
        <v>74</v>
      </c>
      <c r="F51" s="5" t="s">
        <v>194</v>
      </c>
      <c r="G51" s="5" t="s">
        <v>195</v>
      </c>
      <c r="H51" s="5" t="s">
        <v>40</v>
      </c>
      <c r="I51" s="5"/>
      <c r="J51" s="5" t="s">
        <v>48</v>
      </c>
      <c r="K51" s="5"/>
      <c r="L51" s="5"/>
    </row>
    <row r="52" customFormat="false" ht="15" hidden="false" customHeight="false" outlineLevel="0" collapsed="false">
      <c r="A52" s="4" t="s">
        <v>196</v>
      </c>
      <c r="B52" s="5" t="s">
        <v>162</v>
      </c>
      <c r="C52" s="5" t="s">
        <v>184</v>
      </c>
      <c r="D52" s="5" t="s">
        <v>74</v>
      </c>
      <c r="E52" s="5" t="s">
        <v>74</v>
      </c>
      <c r="F52" s="5" t="s">
        <v>194</v>
      </c>
      <c r="G52" s="5" t="s">
        <v>197</v>
      </c>
      <c r="H52" s="5" t="s">
        <v>40</v>
      </c>
      <c r="I52" s="5"/>
      <c r="J52" s="5" t="s">
        <v>77</v>
      </c>
      <c r="K52" s="5"/>
      <c r="L52" s="5" t="s">
        <v>78</v>
      </c>
    </row>
    <row r="53" customFormat="false" ht="15" hidden="false" customHeight="false" outlineLevel="0" collapsed="false">
      <c r="A53" s="4" t="s">
        <v>198</v>
      </c>
      <c r="B53" s="5" t="s">
        <v>162</v>
      </c>
      <c r="C53" s="5" t="s">
        <v>184</v>
      </c>
      <c r="D53" s="5" t="s">
        <v>74</v>
      </c>
      <c r="E53" s="5" t="s">
        <v>74</v>
      </c>
      <c r="F53" s="5" t="s">
        <v>199</v>
      </c>
      <c r="G53" s="5" t="s">
        <v>200</v>
      </c>
      <c r="H53" s="5" t="s">
        <v>40</v>
      </c>
      <c r="I53" s="5"/>
      <c r="J53" s="5" t="s">
        <v>77</v>
      </c>
      <c r="K53" s="5"/>
      <c r="L53" s="5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 t="s">
        <v>201</v>
      </c>
      <c r="B1" s="1" t="s">
        <v>6</v>
      </c>
      <c r="C1" s="1" t="s">
        <v>202</v>
      </c>
      <c r="D1" s="1" t="s">
        <v>203</v>
      </c>
    </row>
    <row r="2" customFormat="false" ht="26.85" hidden="false" customHeight="false" outlineLevel="0" collapsed="false">
      <c r="A2" s="8" t="s">
        <v>204</v>
      </c>
      <c r="B2" s="9" t="s">
        <v>205</v>
      </c>
      <c r="C2" s="9" t="n">
        <f aca="false">COUNTIF('WBS - هيكل تقسيم العمل'!J:J,"Must")</f>
        <v>10</v>
      </c>
      <c r="D2" s="9" t="s">
        <v>206</v>
      </c>
    </row>
    <row r="3" customFormat="false" ht="26.85" hidden="false" customHeight="false" outlineLevel="0" collapsed="false">
      <c r="A3" s="10" t="s">
        <v>207</v>
      </c>
      <c r="B3" s="9" t="s">
        <v>208</v>
      </c>
      <c r="C3" s="9" t="n">
        <f aca="false">COUNTIF('WBS - هيكل تقسيم العمل'!J:J,"Should")</f>
        <v>20</v>
      </c>
      <c r="D3" s="9" t="s">
        <v>209</v>
      </c>
    </row>
    <row r="4" customFormat="false" ht="26.85" hidden="false" customHeight="false" outlineLevel="0" collapsed="false">
      <c r="A4" s="11" t="s">
        <v>210</v>
      </c>
      <c r="B4" s="9" t="s">
        <v>211</v>
      </c>
      <c r="C4" s="9" t="n">
        <f aca="false">COUNTIF('WBS - هيكل تقسيم العمل'!J:J,"Could")</f>
        <v>13</v>
      </c>
      <c r="D4" s="9" t="s">
        <v>212</v>
      </c>
    </row>
    <row r="5" customFormat="false" ht="26.85" hidden="false" customHeight="false" outlineLevel="0" collapsed="false">
      <c r="A5" s="12" t="s">
        <v>213</v>
      </c>
      <c r="B5" s="9" t="s">
        <v>214</v>
      </c>
      <c r="C5" s="9" t="n">
        <f aca="false">COUNTIF('WBS - هيكل تقسيم العمل'!J:J,"Won't*")</f>
        <v>4</v>
      </c>
      <c r="D5" s="9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8" min="5" style="0" width="16"/>
  </cols>
  <sheetData>
    <row r="1" customFormat="false" ht="26.85" hidden="false" customHeight="false" outlineLevel="0" collapsed="false">
      <c r="A1" s="13" t="s">
        <v>1</v>
      </c>
      <c r="B1" s="13" t="s">
        <v>0</v>
      </c>
      <c r="C1" s="13" t="s">
        <v>216</v>
      </c>
      <c r="D1" s="13" t="s">
        <v>217</v>
      </c>
      <c r="E1" s="13" t="s">
        <v>218</v>
      </c>
      <c r="F1" s="13" t="s">
        <v>219</v>
      </c>
      <c r="G1" s="13" t="s">
        <v>220</v>
      </c>
      <c r="H1" s="13" t="s">
        <v>221</v>
      </c>
    </row>
    <row r="2" customFormat="false" ht="15" hidden="false" customHeight="false" outlineLevel="0" collapsed="false">
      <c r="A2" s="14" t="s">
        <v>222</v>
      </c>
      <c r="B2" s="14" t="s">
        <v>223</v>
      </c>
      <c r="C2" s="14" t="s">
        <v>224</v>
      </c>
      <c r="D2" s="14" t="s">
        <v>22</v>
      </c>
      <c r="E2" s="14" t="n">
        <v>12</v>
      </c>
      <c r="F2" s="14" t="s">
        <v>225</v>
      </c>
      <c r="G2" s="14" t="s">
        <v>226</v>
      </c>
      <c r="H2" s="14" t="s">
        <v>227</v>
      </c>
    </row>
    <row r="3" customFormat="false" ht="15" hidden="false" customHeight="false" outlineLevel="0" collapsed="false">
      <c r="A3" s="15" t="s">
        <v>228</v>
      </c>
      <c r="B3" s="15" t="s">
        <v>229</v>
      </c>
      <c r="C3" s="15" t="s">
        <v>230</v>
      </c>
      <c r="D3" s="15" t="s">
        <v>231</v>
      </c>
      <c r="E3" s="15" t="n">
        <v>4</v>
      </c>
      <c r="F3" s="15" t="s">
        <v>232</v>
      </c>
      <c r="G3" s="15" t="s">
        <v>233</v>
      </c>
      <c r="H3" s="15" t="s">
        <v>234</v>
      </c>
    </row>
    <row r="4" customFormat="false" ht="15" hidden="false" customHeight="false" outlineLevel="0" collapsed="false">
      <c r="A4" s="15" t="s">
        <v>228</v>
      </c>
      <c r="B4" s="15" t="s">
        <v>235</v>
      </c>
      <c r="C4" s="15" t="s">
        <v>236</v>
      </c>
      <c r="D4" s="15" t="s">
        <v>237</v>
      </c>
      <c r="E4" s="15" t="n">
        <v>4</v>
      </c>
      <c r="F4" s="15" t="s">
        <v>232</v>
      </c>
      <c r="G4" s="15" t="s">
        <v>233</v>
      </c>
      <c r="H4" s="15" t="s">
        <v>234</v>
      </c>
    </row>
    <row r="5" customFormat="false" ht="15" hidden="false" customHeight="false" outlineLevel="0" collapsed="false">
      <c r="A5" s="16" t="s">
        <v>228</v>
      </c>
      <c r="B5" s="16" t="s">
        <v>238</v>
      </c>
      <c r="C5" s="16" t="s">
        <v>239</v>
      </c>
      <c r="D5" s="16" t="s">
        <v>240</v>
      </c>
      <c r="E5" s="16" t="n">
        <v>3</v>
      </c>
      <c r="F5" s="16" t="s">
        <v>232</v>
      </c>
      <c r="G5" s="16" t="s">
        <v>241</v>
      </c>
      <c r="H5" s="16" t="s">
        <v>242</v>
      </c>
    </row>
    <row r="6" customFormat="false" ht="15" hidden="false" customHeight="false" outlineLevel="0" collapsed="false">
      <c r="A6" s="15" t="s">
        <v>228</v>
      </c>
      <c r="B6" s="15" t="s">
        <v>243</v>
      </c>
      <c r="C6" s="15" t="s">
        <v>244</v>
      </c>
      <c r="D6" s="15" t="s">
        <v>245</v>
      </c>
      <c r="E6" s="15" t="n">
        <v>4</v>
      </c>
      <c r="F6" s="15" t="s">
        <v>232</v>
      </c>
      <c r="G6" s="15" t="s">
        <v>233</v>
      </c>
      <c r="H6" s="15" t="s">
        <v>234</v>
      </c>
    </row>
    <row r="7" customFormat="false" ht="15" hidden="false" customHeight="false" outlineLevel="0" collapsed="false">
      <c r="A7" s="15" t="s">
        <v>246</v>
      </c>
      <c r="B7" s="15" t="s">
        <v>247</v>
      </c>
      <c r="C7" s="15" t="s">
        <v>248</v>
      </c>
      <c r="D7" s="15" t="s">
        <v>249</v>
      </c>
      <c r="E7" s="15" t="n">
        <v>6</v>
      </c>
      <c r="F7" s="15" t="s">
        <v>250</v>
      </c>
      <c r="G7" s="15" t="s">
        <v>251</v>
      </c>
      <c r="H7" s="15" t="s">
        <v>234</v>
      </c>
    </row>
    <row r="8" customFormat="false" ht="15" hidden="false" customHeight="false" outlineLevel="0" collapsed="false">
      <c r="A8" s="16" t="s">
        <v>252</v>
      </c>
      <c r="B8" s="16" t="s">
        <v>253</v>
      </c>
      <c r="C8" s="16" t="s">
        <v>254</v>
      </c>
      <c r="D8" s="16" t="s">
        <v>22</v>
      </c>
      <c r="E8" s="16" t="n">
        <v>4</v>
      </c>
      <c r="F8" s="16" t="s">
        <v>232</v>
      </c>
      <c r="G8" s="16" t="s">
        <v>233</v>
      </c>
      <c r="H8" s="16" t="s">
        <v>255</v>
      </c>
    </row>
    <row r="9" customFormat="false" ht="15" hidden="false" customHeight="false" outlineLevel="0" collapsed="false">
      <c r="A9" s="16" t="s">
        <v>256</v>
      </c>
      <c r="B9" s="16" t="s">
        <v>257</v>
      </c>
      <c r="C9" s="16" t="s">
        <v>258</v>
      </c>
      <c r="D9" s="16" t="s">
        <v>22</v>
      </c>
      <c r="E9" s="16" t="n">
        <v>3</v>
      </c>
      <c r="F9" s="16" t="s">
        <v>232</v>
      </c>
      <c r="G9" s="16" t="s">
        <v>241</v>
      </c>
      <c r="H9" s="16" t="s">
        <v>255</v>
      </c>
    </row>
    <row r="10" customFormat="false" ht="15" hidden="false" customHeight="false" outlineLevel="0" collapsed="false">
      <c r="A10" s="15" t="s">
        <v>78</v>
      </c>
      <c r="B10" s="15" t="s">
        <v>259</v>
      </c>
      <c r="C10" s="15" t="s">
        <v>260</v>
      </c>
      <c r="D10" s="15" t="s">
        <v>261</v>
      </c>
      <c r="E10" s="15" t="n">
        <v>8</v>
      </c>
      <c r="F10" s="15" t="s">
        <v>262</v>
      </c>
      <c r="G10" s="15" t="s">
        <v>263</v>
      </c>
      <c r="H10" s="15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7" t="s">
        <v>264</v>
      </c>
      <c r="B1" s="17"/>
      <c r="C1" s="17"/>
      <c r="D1" s="17"/>
    </row>
    <row r="3" customFormat="false" ht="17.35" hidden="false" customHeight="false" outlineLevel="0" collapsed="false">
      <c r="A3" s="18" t="s">
        <v>265</v>
      </c>
      <c r="B3" s="19" t="n">
        <f aca="false">COUNTA('WBS - هيكل تقسيم العمل'!A:A)-1</f>
        <v>52</v>
      </c>
    </row>
    <row r="4" customFormat="false" ht="17.35" hidden="false" customHeight="false" outlineLevel="0" collapsed="false">
      <c r="A4" s="18" t="s">
        <v>266</v>
      </c>
      <c r="B4" s="19" t="n">
        <f aca="false">COUNTIF('WBS - هيكل تقسيم العمل'!H:H,"*مكتمل*")</f>
        <v>4</v>
      </c>
    </row>
    <row r="5" customFormat="false" ht="17.35" hidden="false" customHeight="false" outlineLevel="0" collapsed="false">
      <c r="A5" s="18" t="s">
        <v>267</v>
      </c>
      <c r="B5" s="19" t="n">
        <f aca="false">COUNTIF('WBS - هيكل تقسيم العمل'!H:H,"*متاح*")</f>
        <v>26</v>
      </c>
    </row>
    <row r="6" customFormat="false" ht="17.35" hidden="false" customHeight="false" outlineLevel="0" collapsed="false">
      <c r="A6" s="18" t="s">
        <v>268</v>
      </c>
      <c r="B6" s="19" t="n">
        <f aca="false">COUNTIF('WBS - هيكل تقسيم العمل'!H:H,"*قيد*")</f>
        <v>0</v>
      </c>
    </row>
    <row r="7" customFormat="false" ht="17.35" hidden="false" customHeight="false" outlineLevel="0" collapsed="false">
      <c r="A7" s="18" t="s">
        <v>269</v>
      </c>
      <c r="B7" s="19" t="n">
        <f aca="false">COUNTIF('WBS - هيكل تقسيم العمل'!H:H,"*محجوز*")</f>
        <v>22</v>
      </c>
    </row>
    <row r="8" customFormat="false" ht="17.35" hidden="false" customHeight="false" outlineLevel="0" collapsed="false">
      <c r="A8" s="18" t="s">
        <v>270</v>
      </c>
      <c r="B8" s="20" t="n">
        <f aca="false">IFERROR(COUNTIF('WBS - هيكل تقسيم العمل'!H:H,"*مكتمل*")/(COUNTA('WBS - هيكل تقسيم العمل'!A:A)-1)*100,0)</f>
        <v>7.69230769230769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2026-04-08T09:57:18Z</dcterms:created>
  <dc:creator>openpyxl</dc:creator>
  <dc:description/>
  <dc:language>en-US</dc:language>
  <cp:lastModifiedBy/>
  <dcterms:modified xsi:type="dcterms:W3CDTF">2026-04-08T09:57:18Z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